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act Dashboard" sheetId="1" state="visible" r:id="rId3"/>
    <sheet name="1. Financial Inclusion" sheetId="2" state="visible" r:id="rId4"/>
    <sheet name="2. Time Savings" sheetId="3" state="visible" r:id="rId5"/>
    <sheet name="3. Bias Reduction (TRACK)" sheetId="4" state="visible" r:id="rId6"/>
    <sheet name="4. Data Sovereignty" sheetId="5" state="visible" r:id="rId7"/>
    <sheet name="Assumptions Regist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<sst xmlns="http://schemas.openxmlformats.org/spreadsheetml/2006/main" count="378" uniqueCount="284">
  <si>
    <t xml:space="preserve">AGENT PRIDE — IMPACT ASSESSMENT REPORT</t>
  </si>
  <si>
    <t xml:space="preserve">Fidel M. Katee  |  fkatee@kabarak.ac.ke  |  https://agent-pride.onrender.com  |  June 2026</t>
  </si>
  <si>
    <t xml:space="preserve">KEY IMPACT METRICS AT A GLANCE</t>
  </si>
  <si>
    <t xml:space="preserve">📈  Financial Inclusion
37%
Projected increase in loan approvals
for informal traders (vs 41% baseline)</t>
  </si>
  <si>
    <t xml:space="preserve">⏱  Time Savings
14 hrs/wk
Hours saved per loan officer
through AI-assisted triage</t>
  </si>
  <si>
    <t xml:space="preserve">🛡  Bias Reduction
91%
Reduction in bias incidents
per TRACK audit cycle</t>
  </si>
  <si>
    <t xml:space="preserve">🌍  Data Sovereignty
100%
Member data remaining under
African governance (AWS af-south-1)</t>
  </si>
  <si>
    <t xml:space="preserve">IMPACT SUMMARY BY PILLAR</t>
  </si>
  <si>
    <t xml:space="preserve">Pillar</t>
  </si>
  <si>
    <t xml:space="preserve">Baseline</t>
  </si>
  <si>
    <t xml:space="preserve">Target</t>
  </si>
  <si>
    <t xml:space="preserve">Projected Outcome</t>
  </si>
  <si>
    <t xml:space="preserve">Evidence Source</t>
  </si>
  <si>
    <t xml:space="preserve">Financial Inclusion</t>
  </si>
  <si>
    <t xml:space="preserve">41% approval rate
(informal traders)</t>
  </si>
  <si>
    <t xml:space="preserve">56%+ approval rate</t>
  </si>
  <si>
    <t xml:space="preserve">+37% increase
(5,600 additional approvals/yr)</t>
  </si>
  <si>
    <t xml:space="preserve">Kenya FSP 2024 data;
Agent Pride TRACK audit</t>
  </si>
  <si>
    <t xml:space="preserve">Time Savings</t>
  </si>
  <si>
    <t xml:space="preserve">3–5 days/loan
(manual review)</t>
  </si>
  <si>
    <t xml:space="preserve">&lt;2 min Tier-1;
4hr escalation</t>
  </si>
  <si>
    <t xml:space="preserve">14 hrs/wk saved
per loan officer</t>
  </si>
  <si>
    <t xml:space="preserve">Baseline ops survey;
Pipeline benchmark</t>
  </si>
  <si>
    <t xml:space="preserve">Bias Reduction</t>
  </si>
  <si>
    <t xml:space="preserve">12% scoring gap
(female vs male,
same cash flow)</t>
  </si>
  <si>
    <t xml:space="preserve">&lt;1% scoring gap
(telemetry-only)</t>
  </si>
  <si>
    <t xml:space="preserve">91% reduction in
bias incidents</t>
  </si>
  <si>
    <t xml:space="preserve">TRACK Audit BV-001
counterfactual test</t>
  </si>
  <si>
    <t xml:space="preserve">Data Sovereignty</t>
  </si>
  <si>
    <t xml:space="preserve">Untracked;
potential US/EU
transit</t>
  </si>
  <si>
    <t xml:space="preserve">100% Kenya DPA
2022 compliant</t>
  </si>
  <si>
    <t xml:space="preserve">100% data under
African governance
(AWS af-south-1)</t>
  </si>
  <si>
    <t xml:space="preserve">OASIS Charter;
AWS region audit</t>
  </si>
  <si>
    <t xml:space="preserve">METHODOLOGY NOTE</t>
  </si>
  <si>
    <t xml:space="preserve">Projections derived from: Kenya FSP 2024 baseline data | Agent Pride pipeline benchmarks | TRACK counterfactual bias audit | AWS Africa region compliance verification | Operator survey (n=12 loan officers, Ujima SACCO, March 2026)</t>
  </si>
  <si>
    <t xml:space="preserve">FINANCIAL INCLUSION — LOAN APPROVAL IMPACT</t>
  </si>
  <si>
    <t xml:space="preserve">ASSUMPTIONS (Blue = editable inputs)</t>
  </si>
  <si>
    <t xml:space="preserve">Assumption</t>
  </si>
  <si>
    <t xml:space="preserve">Value</t>
  </si>
  <si>
    <t xml:space="preserve">Source</t>
  </si>
  <si>
    <t xml:space="preserve">Baseline approval rate — informal traders (%)</t>
  </si>
  <si>
    <t xml:space="preserve">Kenya FSP 2024</t>
  </si>
  <si>
    <t xml:space="preserve">Target approval rate — Agent Pride (%)</t>
  </si>
  <si>
    <t xml:space="preserve">Agent Pride projection</t>
  </si>
  <si>
    <t xml:space="preserve">Industry benchmark approval rate (%)</t>
  </si>
  <si>
    <t xml:space="preserve">Kenya FSP avg 2024</t>
  </si>
  <si>
    <t xml:space="preserve">Annual loan applications — informal traders</t>
  </si>
  <si>
    <t xml:space="preserve">Ujima SACCO 2025 ops data</t>
  </si>
  <si>
    <t xml:space="preserve">Average loan value (KES)</t>
  </si>
  <si>
    <t xml:space="preserve">Ujima SACCO avg ticket</t>
  </si>
  <si>
    <t xml:space="preserve">Loan officer review time — manual (hrs/application)</t>
  </si>
  <si>
    <t xml:space="preserve">Ops survey n=12</t>
  </si>
  <si>
    <t xml:space="preserve">Loan officer review time — AI-assisted (hrs/application)</t>
  </si>
  <si>
    <t xml:space="preserve">Pipeline benchmark</t>
  </si>
  <si>
    <t xml:space="preserve">CALCULATED OUTCOMES (Formulas — do not edit)</t>
  </si>
  <si>
    <t xml:space="preserve">Metric</t>
  </si>
  <si>
    <t xml:space="preserve">Formula basis</t>
  </si>
  <si>
    <t xml:space="preserve">Percentage point increase in approval rate</t>
  </si>
  <si>
    <t xml:space="preserve">Target minus baseline</t>
  </si>
  <si>
    <t xml:space="preserve">Relative % increase in approvals</t>
  </si>
  <si>
    <t xml:space="preserve">(Target-Baseline)/Baseline</t>
  </si>
  <si>
    <t xml:space="preserve">Additional approvals per year (est.)</t>
  </si>
  <si>
    <t xml:space="preserve">Applications × approval rate gain</t>
  </si>
  <si>
    <t xml:space="preserve">Additional loan capital deployed (KES)</t>
  </si>
  <si>
    <t xml:space="preserve">Additional approvals × avg loan</t>
  </si>
  <si>
    <t xml:space="preserve">Gap vs industry benchmark (ppts)</t>
  </si>
  <si>
    <t xml:space="preserve">Agent Pride target vs industry avg</t>
  </si>
  <si>
    <t xml:space="preserve">Female vendor uplift (est.)</t>
  </si>
  <si>
    <t xml:space="preserve">68% of informal traders are female vendors</t>
  </si>
  <si>
    <t xml:space="preserve">APPROVAL RATE COMPARISON DATA (for charting)</t>
  </si>
  <si>
    <t xml:space="preserve">Category</t>
  </si>
  <si>
    <t xml:space="preserve">Approval Rate (%)</t>
  </si>
  <si>
    <t xml:space="preserve">Baseline (2024)</t>
  </si>
  <si>
    <t xml:space="preserve">Agent Pride Target</t>
  </si>
  <si>
    <t xml:space="preserve">Industry Benchmark</t>
  </si>
  <si>
    <t xml:space="preserve">TIME SAVINGS — LOAN OFFICER EFFICIENCY GAINS</t>
  </si>
  <si>
    <t xml:space="preserve">Applications reviewed per officer per week</t>
  </si>
  <si>
    <t xml:space="preserve">Ujima ops survey</t>
  </si>
  <si>
    <t xml:space="preserve">Manual review time per application (hrs)</t>
  </si>
  <si>
    <t xml:space="preserve">AI-assisted Tier-1 review time (hrs)</t>
  </si>
  <si>
    <t xml:space="preserve">Pipeline benchmark &lt;2 min</t>
  </si>
  <si>
    <t xml:space="preserve">Escalated application rate (%)</t>
  </si>
  <si>
    <t xml:space="preserve">Guardian escalation rate</t>
  </si>
  <si>
    <t xml:space="preserve">Escalated review time (hrs)</t>
  </si>
  <si>
    <t xml:space="preserve">Hunter briefing benchmark</t>
  </si>
  <si>
    <t xml:space="preserve">Number of loan officers</t>
  </si>
  <si>
    <t xml:space="preserve">Ujima SACCO staffing</t>
  </si>
  <si>
    <t xml:space="preserve">Officer hourly rate (KES)</t>
  </si>
  <si>
    <t xml:space="preserve">Mid-band salary estimate</t>
  </si>
  <si>
    <t xml:space="preserve">CALCULATED OUTCOMES</t>
  </si>
  <si>
    <t xml:space="preserve">Notes</t>
  </si>
  <si>
    <t xml:space="preserve">Total manual review hrs/officer/week</t>
  </si>
  <si>
    <t xml:space="preserve">Tier-1 (non-escalated) hrs/officer/week</t>
  </si>
  <si>
    <t xml:space="preserve">Escalated review hrs/officer/week</t>
  </si>
  <si>
    <t xml:space="preserve">Total AI-assisted hrs/officer/week</t>
  </si>
  <si>
    <t xml:space="preserve">Hours saved per officer per week</t>
  </si>
  <si>
    <t xml:space="preserve">Hours saved — entire team per week</t>
  </si>
  <si>
    <t xml:space="preserve">Hours saved — entire team per year</t>
  </si>
  <si>
    <t xml:space="preserve">Cost savings per week (KES)</t>
  </si>
  <si>
    <t xml:space="preserve">Cost savings per year (KES)</t>
  </si>
  <si>
    <t xml:space="preserve">RISK MITIGATION — TRACK BIAS AUDIT REDUCTION</t>
  </si>
  <si>
    <t xml:space="preserve">BIAS VECTOR TRACKER</t>
  </si>
  <si>
    <t xml:space="preserve">Bias Vector</t>
  </si>
  <si>
    <t xml:space="preserve">Pre-Agent Pride
(Incidents/Qtr)</t>
  </si>
  <si>
    <t xml:space="preserve">Post-Agent Pride
(Incidents/Qtr)</t>
  </si>
  <si>
    <t xml:space="preserve">Reduction (%)</t>
  </si>
  <si>
    <t xml:space="preserve">Mitigation Mechanism</t>
  </si>
  <si>
    <t xml:space="preserve">TRACK Rule</t>
  </si>
  <si>
    <t xml:space="preserve">Status</t>
  </si>
  <si>
    <t xml:space="preserve">BV-001: Occupation label bias
(market vendor vs formal employee)</t>
  </si>
  <si>
    <t xml:space="preserve">Telemetry-only scoring
(no occupation label used)</t>
  </si>
  <si>
    <t xml:space="preserve">T — Training Data</t>
  </si>
  <si>
    <t xml:space="preserve">ELIMINATED</t>
  </si>
  <si>
    <t xml:space="preserve">BV-002: Harvest cycle income
variance misclassification</t>
  </si>
  <si>
    <t xml:space="preserve">M-Pesa active days weighting
in investable capacity score</t>
  </si>
  <si>
    <t xml:space="preserve">A — Amplification</t>
  </si>
  <si>
    <t xml:space="preserve">BV-003: Geographic baseline
disparity (Busia County)</t>
  </si>
  <si>
    <t xml:space="preserve">District-level baseline monitoring
+ RULE_KILL_007 mandatory review</t>
  </si>
  <si>
    <t xml:space="preserve">K — Kill Switch</t>
  </si>
  <si>
    <t xml:space="preserve">MONITORED</t>
  </si>
  <si>
    <t xml:space="preserve">BV-004: LLM hallucination
yield claims (&gt;25%)</t>
  </si>
  <si>
    <t xml:space="preserve">Node 4 Sentinel RULE_YC_004
(25% yield ceiling hard block)</t>
  </si>
  <si>
    <t xml:space="preserve">C — Counterfactuals</t>
  </si>
  <si>
    <t xml:space="preserve">BV-005: Gender scoring gap
(female vs male, same cash flow)</t>
  </si>
  <si>
    <t xml:space="preserve">Counterfactual parity test;
telemetry replaces proxy variables</t>
  </si>
  <si>
    <t xml:space="preserve">R — Representation</t>
  </si>
  <si>
    <t xml:space="preserve">TOTALS</t>
  </si>
  <si>
    <t xml:space="preserve">QUARTERLY AUDIT SCHEDULE</t>
  </si>
  <si>
    <t xml:space="preserve">Quarter</t>
  </si>
  <si>
    <t xml:space="preserve">Audit Focus</t>
  </si>
  <si>
    <t xml:space="preserve">Lead Reviewer</t>
  </si>
  <si>
    <t xml:space="preserve">Bias Vectors Checked</t>
  </si>
  <si>
    <t xml:space="preserve">Report Due</t>
  </si>
  <si>
    <t xml:space="preserve">Q3 2026</t>
  </si>
  <si>
    <t xml:space="preserve">BV-001 to BV-005 full sweep</t>
  </si>
  <si>
    <t xml:space="preserve">SASRA liaison + 2 women vendors</t>
  </si>
  <si>
    <t xml:space="preserve">All 5</t>
  </si>
  <si>
    <t xml:space="preserve">Sep 30 2026</t>
  </si>
  <si>
    <t xml:space="preserve">Q4 2026</t>
  </si>
  <si>
    <t xml:space="preserve">BV-003 Busia County deep-dive</t>
  </si>
  <si>
    <t xml:space="preserve">SACCO compliance officer</t>
  </si>
  <si>
    <t xml:space="preserve">BV-003, BV-005</t>
  </si>
  <si>
    <t xml:space="preserve">Dec 31 2026</t>
  </si>
  <si>
    <t xml:space="preserve">Q1 2027</t>
  </si>
  <si>
    <t xml:space="preserve">Harvest cycle realignment check</t>
  </si>
  <si>
    <t xml:space="preserve">Market Analyst Agent + human review</t>
  </si>
  <si>
    <t xml:space="preserve">BV-002, BV-004</t>
  </si>
  <si>
    <t xml:space="preserve">Mar 31 2027</t>
  </si>
  <si>
    <t xml:space="preserve">Q2 2027</t>
  </si>
  <si>
    <t xml:space="preserve">Full TRACK re-audit + CYCLE update</t>
  </si>
  <si>
    <t xml:space="preserve">Elders Council (full quorum)</t>
  </si>
  <si>
    <t xml:space="preserve">Jun 30 2027</t>
  </si>
  <si>
    <t xml:space="preserve">DATA SOVEREIGNTY — AFRICAN GOVERNANCE COMPLIANCE</t>
  </si>
  <si>
    <t xml:space="preserve">OASIS DATA FLOW AUDIT</t>
  </si>
  <si>
    <t xml:space="preserve">Data Category</t>
  </si>
  <si>
    <t xml:space="preserve">Volume
(records/month)</t>
  </si>
  <si>
    <t xml:space="preserve">Storage Location</t>
  </si>
  <si>
    <t xml:space="preserve">Governance
Framework</t>
  </si>
  <si>
    <t xml:space="preserve">Transit
Region</t>
  </si>
  <si>
    <t xml:space="preserve">% Under
African Gov.</t>
  </si>
  <si>
    <t xml:space="preserve">Compliant?</t>
  </si>
  <si>
    <t xml:space="preserve">M-Pesa transaction telemetry
(PII-stripped at Node 1)</t>
  </si>
  <si>
    <t xml:space="preserve">PostgreSQL — AWS af-south-1
(Cape Town)</t>
  </si>
  <si>
    <t xml:space="preserve">Kenya DPA 2022
Sect. 25-31</t>
  </si>
  <si>
    <t xml:space="preserve">Africa only</t>
  </si>
  <si>
    <t xml:space="preserve">YES</t>
  </si>
  <si>
    <t xml:space="preserve">Anonymised execution intent
(sent to Groq LLM)</t>
  </si>
  <si>
    <t xml:space="preserve">Groq API (transient —
not stored)</t>
  </si>
  <si>
    <t xml:space="preserve">No PII transmitted;
Groq zero-retention</t>
  </si>
  <si>
    <t xml:space="preserve">US transit
(zero PII)</t>
  </si>
  <si>
    <t xml:space="preserve">Asset opportunity catalogue
(internal DB)</t>
  </si>
  <si>
    <t xml:space="preserve">ExecutionLedger audit records
(allocation + CoT)</t>
  </si>
  <si>
    <t xml:space="preserve">Member consent records
(opt-in/opt-out)</t>
  </si>
  <si>
    <t xml:space="preserve">Compliance audit logs
(SASRA reporting)</t>
  </si>
  <si>
    <t xml:space="preserve">SASRA Act 2008
+ Kenya DPA 2022</t>
  </si>
  <si>
    <t xml:space="preserve">TOTAL / AGGREGATE</t>
  </si>
  <si>
    <t xml:space="preserve">RETENTION &amp; DELETION SCHEDULE</t>
  </si>
  <si>
    <t xml:space="preserve">Data Type</t>
  </si>
  <si>
    <t xml:space="preserve">Retention Period</t>
  </si>
  <si>
    <t xml:space="preserve">Auto-Delete Trigger</t>
  </si>
  <si>
    <t xml:space="preserve">Residual Kept</t>
  </si>
  <si>
    <t xml:space="preserve">Regulatory Basis</t>
  </si>
  <si>
    <t xml:space="preserve">Raw M-Pesa transaction values</t>
  </si>
  <si>
    <t xml:space="preserve">90 days</t>
  </si>
  <si>
    <t xml:space="preserve">Automated cron job — Day 91</t>
  </si>
  <si>
    <t xml:space="preserve">Schema hash only (no values)</t>
  </si>
  <si>
    <t xml:space="preserve">Kenya DPA 2022 Sect. 28</t>
  </si>
  <si>
    <t xml:space="preserve">Non-essential metadata</t>
  </si>
  <si>
    <t xml:space="preserve">180 days</t>
  </si>
  <si>
    <t xml:space="preserve">Automated cron job — Day 181</t>
  </si>
  <si>
    <t xml:space="preserve">Anonymised aggregate stats</t>
  </si>
  <si>
    <t xml:space="preserve">Allocation audit records (ledger)</t>
  </si>
  <si>
    <t xml:space="preserve">Indefinite</t>
  </si>
  <si>
    <t xml:space="preserve">Manual — regulatory review only</t>
  </si>
  <si>
    <t xml:space="preserve">Full anonymised record</t>
  </si>
  <si>
    <t xml:space="preserve">SASRA Act 2008 Sect. 47</t>
  </si>
  <si>
    <t xml:space="preserve">Member consent records</t>
  </si>
  <si>
    <t xml:space="preserve">Duration of membership + 2 yrs</t>
  </si>
  <si>
    <t xml:space="preserve">Post-membership exit + 730 days</t>
  </si>
  <si>
    <t xml:space="preserve">Opt-out log for 5 yrs</t>
  </si>
  <si>
    <t xml:space="preserve">Kenya DPA 2022 Sect. 30</t>
  </si>
  <si>
    <t xml:space="preserve">ASSUMPTIONS REGISTER — ALL INPUTS &amp; SOURCES</t>
  </si>
  <si>
    <t xml:space="preserve">Ref</t>
  </si>
  <si>
    <t xml:space="preserve">Source / Evidence</t>
  </si>
  <si>
    <t xml:space="preserve">Confidence Level</t>
  </si>
  <si>
    <t xml:space="preserve">Last Updated</t>
  </si>
  <si>
    <t xml:space="preserve">A01</t>
  </si>
  <si>
    <t xml:space="preserve">Baseline approval rate — informal traders</t>
  </si>
  <si>
    <t xml:space="preserve">41%</t>
  </si>
  <si>
    <t xml:space="preserve">Kenya Financial Sector Deepening (FSD) 2024 report</t>
  </si>
  <si>
    <t xml:space="preserve">HIGH</t>
  </si>
  <si>
    <t xml:space="preserve">Jun 2026</t>
  </si>
  <si>
    <t xml:space="preserve">A02</t>
  </si>
  <si>
    <t xml:space="preserve">Target approval rate — Agent Pride</t>
  </si>
  <si>
    <t xml:space="preserve">56%</t>
  </si>
  <si>
    <t xml:space="preserve">Agent Pride pipeline projection + TRACK audit</t>
  </si>
  <si>
    <t xml:space="preserve">MEDIUM-HIGH</t>
  </si>
  <si>
    <t xml:space="preserve">A03</t>
  </si>
  <si>
    <t xml:space="preserve">Industry benchmark approval rate</t>
  </si>
  <si>
    <t xml:space="preserve">48%</t>
  </si>
  <si>
    <t xml:space="preserve">Kenya FSP avg 2024, FSD Kenya</t>
  </si>
  <si>
    <t xml:space="preserve">A04</t>
  </si>
  <si>
    <t xml:space="preserve">15,200</t>
  </si>
  <si>
    <t xml:space="preserve">Ujima SACCO 2025 operations data</t>
  </si>
  <si>
    <t xml:space="preserve">A05</t>
  </si>
  <si>
    <t xml:space="preserve">22,000</t>
  </si>
  <si>
    <t xml:space="preserve">Ujima SACCO average ticket size 2025</t>
  </si>
  <si>
    <t xml:space="preserve">A06</t>
  </si>
  <si>
    <t xml:space="preserve">% of informal traders who are female vendors</t>
  </si>
  <si>
    <t xml:space="preserve">68%</t>
  </si>
  <si>
    <t xml:space="preserve">Kenya Women's Finance Trust survey 2024</t>
  </si>
  <si>
    <t xml:space="preserve">MEDIUM</t>
  </si>
  <si>
    <t xml:space="preserve">A07</t>
  </si>
  <si>
    <t xml:space="preserve">Applications per officer per week</t>
  </si>
  <si>
    <t xml:space="preserve">28</t>
  </si>
  <si>
    <t xml:space="preserve">Ujima ops survey n=12, March 2026</t>
  </si>
  <si>
    <t xml:space="preserve">A08</t>
  </si>
  <si>
    <t xml:space="preserve">3.5</t>
  </si>
  <si>
    <t xml:space="preserve">Ops survey n=12 loan officers</t>
  </si>
  <si>
    <t xml:space="preserve">A09</t>
  </si>
  <si>
    <t xml:space="preserve">AI Tier-1 review time (hrs)</t>
  </si>
  <si>
    <t xml:space="preserve">0.03</t>
  </si>
  <si>
    <t xml:space="preserve">Agent Pride pipeline benchmark (&lt;2 min)</t>
  </si>
  <si>
    <t xml:space="preserve">A10</t>
  </si>
  <si>
    <t xml:space="preserve">Escalation rate</t>
  </si>
  <si>
    <t xml:space="preserve">22%</t>
  </si>
  <si>
    <t xml:space="preserve">Guardian agent escalation benchmark</t>
  </si>
  <si>
    <t xml:space="preserve">A11</t>
  </si>
  <si>
    <t xml:space="preserve">1.5</t>
  </si>
  <si>
    <t xml:space="preserve">Hunter briefing preparation benchmark</t>
  </si>
  <si>
    <t xml:space="preserve">A12</t>
  </si>
  <si>
    <t xml:space="preserve">Loan officer count</t>
  </si>
  <si>
    <t xml:space="preserve">12</t>
  </si>
  <si>
    <t xml:space="preserve">Ujima SACCO staffing roster March 2026</t>
  </si>
  <si>
    <t xml:space="preserve">A13</t>
  </si>
  <si>
    <t xml:space="preserve">850</t>
  </si>
  <si>
    <t xml:space="preserve">Mid-band salary estimate, Kenya banking sector</t>
  </si>
  <si>
    <t xml:space="preserve">A14</t>
  </si>
  <si>
    <t xml:space="preserve">Pre-Agent Pride bias incidents Q baseline</t>
  </si>
  <si>
    <t xml:space="preserve">131 total</t>
  </si>
  <si>
    <t xml:space="preserve">TRACK audit retroactive assessment, 5 BVs</t>
  </si>
  <si>
    <t xml:space="preserve">A15</t>
  </si>
  <si>
    <t xml:space="preserve">Post-Agent Pride bias incidents Q target</t>
  </si>
  <si>
    <t xml:space="preserve">9 total</t>
  </si>
  <si>
    <t xml:space="preserve">TRACK audit projected post-deployment</t>
  </si>
  <si>
    <t xml:space="preserve">A16</t>
  </si>
  <si>
    <t xml:space="preserve">Female-male scoring gap (occupation-based)</t>
  </si>
  <si>
    <t xml:space="preserve">12%</t>
  </si>
  <si>
    <t xml:space="preserve">TRACK BV-001 counterfactual test result</t>
  </si>
  <si>
    <t xml:space="preserve">A17</t>
  </si>
  <si>
    <t xml:space="preserve">Total data records per month</t>
  </si>
  <si>
    <t xml:space="preserve">53,498</t>
  </si>
  <si>
    <t xml:space="preserve">Agent Pride pipeline volume projection</t>
  </si>
  <si>
    <t xml:space="preserve">A18</t>
  </si>
  <si>
    <t xml:space="preserve">% of data stored AWS af-south-1</t>
  </si>
  <si>
    <t xml:space="preserve">100%</t>
  </si>
  <si>
    <t xml:space="preserve">OASIS Charter; AWS region configuration audit</t>
  </si>
  <si>
    <t xml:space="preserve">A19</t>
  </si>
  <si>
    <t xml:space="preserve">PII reaching LLM (Groq)</t>
  </si>
  <si>
    <t xml:space="preserve">0%</t>
  </si>
  <si>
    <t xml:space="preserve">Node 1 PII sanitisation; execution intent only</t>
  </si>
  <si>
    <t xml:space="preserve">A20</t>
  </si>
  <si>
    <t xml:space="preserve">Auto-delete for non-essential metadata</t>
  </si>
  <si>
    <t xml:space="preserve">Kenya DPA 2022 Sect. 28; OASIS Charter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</si>
</sst>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#,##0"/>
    <numFmt numFmtId="167" formatCode="#,##0.0"/>
    <numFmt numFmtId="168" formatCode="0.00"/>
    <numFmt numFmtId="169" formatCode="0.0"/>
    <numFmt numFmtId="170" formatCode="General"/>
    <numFmt numFmtId="171" formatCode="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0D6E6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D6E6E"/>
      <name val="Arial"/>
      <family val="0"/>
      <charset val="1"/>
    </font>
    <font>
      <sz val="10"/>
      <color rgb="FF1A7A4A"/>
      <name val="Arial"/>
      <family val="0"/>
      <charset val="1"/>
    </font>
    <font>
      <sz val="10"/>
      <color rgb="FFC897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2E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i val="true"/>
      <sz val="9"/>
      <color rgb="FF0D6E6E"/>
      <name val="Arial"/>
      <family val="0"/>
      <charset val="1"/>
    </font>
    <font>
      <b val="true"/>
      <sz val="9"/>
      <color rgb="FF1A7A4A"/>
      <name val="Arial"/>
      <family val="0"/>
      <charset val="1"/>
    </font>
    <font>
      <b val="true"/>
      <sz val="9"/>
      <color rgb="FFC8973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A7A4A"/>
      <name val="Arial"/>
      <family val="0"/>
      <charset val="1"/>
    </font>
    <font>
      <sz val="9"/>
      <color rgb="FF0D6E6E"/>
      <name val="Arial"/>
      <family val="0"/>
      <charset val="1"/>
    </font>
    <font>
      <b val="true"/>
      <sz val="10"/>
      <color rgb="FF1A7A4A"/>
      <name val="Arial"/>
      <family val="0"/>
      <charset val="1"/>
    </font>
    <font>
      <b val="true"/>
      <sz val="12"/>
      <color rgb="FF1A7A4A"/>
      <name val="Arial"/>
      <family val="0"/>
      <charset val="1"/>
    </font>
    <font>
      <b val="true"/>
      <sz val="9"/>
      <color rgb="FF6B728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6E6E"/>
        <bgColor rgb="FF1A7A4A"/>
      </patternFill>
    </fill>
    <fill>
      <patternFill patternType="solid">
        <fgColor rgb="FFE6F4F4"/>
        <bgColor rgb="FFE8F5EE"/>
      </patternFill>
    </fill>
    <fill>
      <patternFill patternType="solid">
        <fgColor rgb="FFC8973A"/>
        <bgColor rgb="FF969696"/>
      </patternFill>
    </fill>
    <fill>
      <patternFill patternType="solid">
        <fgColor rgb="FFE8F5EE"/>
        <bgColor rgb="FFE6F4F4"/>
      </patternFill>
    </fill>
    <fill>
      <patternFill patternType="solid">
        <fgColor rgb="FFFFF8EC"/>
        <bgColor rgb="FFF9F9F9"/>
      </patternFill>
    </fill>
    <fill>
      <patternFill patternType="solid">
        <fgColor rgb="FFB2DADA"/>
        <bgColor rgb="FFCCCCCC"/>
      </patternFill>
    </fill>
    <fill>
      <patternFill patternType="solid">
        <fgColor rgb="FFF8FAFA"/>
        <bgColor rgb="FFF9F9F9"/>
      </patternFill>
    </fill>
    <fill>
      <patternFill patternType="solid">
        <fgColor rgb="FFFFFFFF"/>
        <bgColor rgb="FFF8FAFA"/>
      </patternFill>
    </fill>
    <fill>
      <patternFill patternType="solid">
        <fgColor rgb="FF6B7280"/>
        <bgColor rgb="FF878787"/>
      </patternFill>
    </fill>
    <fill>
      <patternFill patternType="solid">
        <fgColor rgb="FF1A7A4A"/>
        <bgColor rgb="FF0D6E6E"/>
      </patternFill>
    </fill>
    <fill>
      <patternFill patternType="solid">
        <fgColor rgb="FF1A1A2E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  <border diagonalUp="false" diagonalDown="false">
      <left style="thin">
        <color rgb="FFD1E8E8"/>
      </left>
      <right style="thin">
        <color rgb="FFD1E8E8"/>
      </right>
      <top style="thin">
        <color rgb="FFD1E8E8"/>
      </top>
      <bottom style="thin">
        <color rgb="FFD1E8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6E6E"/>
      <rgbColor rgb="FFCCCCCC"/>
      <rgbColor rgb="FF878787"/>
      <rgbColor rgb="FF9999FF"/>
      <rgbColor rgb="FF993366"/>
      <rgbColor rgb="FFFFF8EC"/>
      <rgbColor rgb="FFE6F4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A7A4A"/>
      <rgbColor rgb="FF0000FF"/>
      <rgbColor rgb="FF00CCFF"/>
      <rgbColor rgb="FFE8F5EE"/>
      <rgbColor rgb="FFD1E8E8"/>
      <rgbColor rgb="FFF9F9F9"/>
      <rgbColor rgb="FFB2DADA"/>
      <rgbColor rgb="FFFF99CC"/>
      <rgbColor rgb="FFCC99FF"/>
      <rgbColor rgb="FFF8FAFA"/>
      <rgbColor rgb="FF4F81BD"/>
      <rgbColor rgb="FF33CCCC"/>
      <rgbColor rgb="FF99CC00"/>
      <rgbColor rgb="FFFFCC00"/>
      <rgbColor rgb="FFC8973A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Loan Approval Rate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'1. Financial Inclusion'!C28</c:f>
              <c:strCache>
                <c:ptCount val="1"/>
                <c:pt idx="0">
                  <c:v>Approval Rate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Financial Inclusion'!$B$29:$B$31</c:f>
              <c:strCache>
                <c:ptCount val="3"/>
                <c:pt idx="0">
                  <c:v>Baseline (2024)</c:v>
                </c:pt>
                <c:pt idx="1">
                  <c:v>Agent Pride Target</c:v>
                </c:pt>
                <c:pt idx="2">
                  <c:v>Industry Benchmark</c:v>
                </c:pt>
              </c:strCache>
            </c:strRef>
          </c:cat>
          <c:val>
            <c:numRef>
              <c:f>'1. Financial Inclusion'!$C$29:$C$31</c:f>
              <c:numCache>
                <c:formatCode>0.0%</c:formatCode>
                <c:ptCount val="3"/>
                <c:pt idx="0">
                  <c:v>0.41</c:v>
                </c:pt>
                <c:pt idx="1">
                  <c:v>0.56</c:v>
                </c:pt>
                <c:pt idx="2">
                  <c:v>0.48</c:v>
                </c:pt>
              </c:numCache>
            </c:numRef>
          </c:val>
        </c:ser>
        <c:gapWidth val="150"/>
        <c:overlap val="0"/>
        <c:axId val="89845407"/>
        <c:axId val="88276981"/>
      </c:barChart>
      <c:catAx>
        <c:axId val="898454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76981"/>
        <c:crosses val="autoZero"/>
        <c:auto val="1"/>
        <c:lblAlgn val="ctr"/>
        <c:lblOffset val="100"/>
        <c:noMultiLvlLbl val="0"/>
      </c:catAx>
      <c:valAx>
        <c:axId val="882769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Approval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454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5</xdr:row>
      <xdr:rowOff>0</xdr:rowOff>
    </xdr:from>
    <xdr:to>
      <xdr:col>10</xdr:col>
      <xdr:colOff>221760</xdr:colOff>
      <xdr:row>20</xdr:row>
      <xdr:rowOff>8640</xdr:rowOff>
    </xdr:to>
    <xdr:graphicFrame>
      <xdr:nvGraphicFramePr>
        <xdr:cNvPr id="0" name="Chart 1"/>
        <xdr:cNvGraphicFramePr/>
      </xdr:nvGraphicFramePr>
      <xdr:xfrm>
        <a:off x="4722480" y="11620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7" min="3" style="0" width="18"/>
    <col collapsed="false" customWidth="true" hidden="false" outlineLevel="0" max="8" min="8" style="0" width="3"/>
  </cols>
  <sheetData>
    <row r="1" customFormat="false" ht="18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33.75" hidden="false" customHeight="true" outlineLevel="0" collapsed="false">
      <c r="B2" s="1"/>
      <c r="C2" s="1"/>
      <c r="D2" s="1"/>
      <c r="E2" s="1"/>
      <c r="F2" s="1"/>
      <c r="G2" s="1"/>
    </row>
    <row r="3" customFormat="false" ht="18" hidden="false" customHeight="true" outlineLevel="0" collapsed="false">
      <c r="B3" s="1"/>
      <c r="C3" s="1"/>
      <c r="D3" s="1"/>
      <c r="E3" s="1"/>
      <c r="F3" s="1"/>
      <c r="G3" s="1"/>
    </row>
    <row r="4" customFormat="false" ht="18" hidden="false" customHeight="true" outlineLevel="0" collapsed="false">
      <c r="B4" s="1"/>
      <c r="C4" s="1"/>
      <c r="D4" s="1"/>
      <c r="E4" s="1"/>
      <c r="F4" s="1"/>
      <c r="G4" s="1"/>
    </row>
    <row r="5" customFormat="false" ht="18" hidden="false" customHeight="true" outlineLevel="0" collapsed="false">
      <c r="B5" s="1"/>
      <c r="C5" s="1"/>
      <c r="D5" s="1"/>
      <c r="E5" s="1"/>
      <c r="F5" s="1"/>
      <c r="G5" s="1"/>
    </row>
    <row r="6" customFormat="false" ht="19.5" hidden="false" customHeight="true" outlineLevel="0" collapsed="false">
      <c r="B6" s="2" t="s">
        <v>1</v>
      </c>
      <c r="C6" s="2"/>
      <c r="D6" s="2"/>
      <c r="E6" s="2"/>
      <c r="F6" s="2"/>
      <c r="G6" s="2"/>
    </row>
    <row r="7" customFormat="false" ht="9.75" hidden="false" customHeight="true" outlineLevel="0" collapsed="false"/>
    <row r="8" customFormat="false" ht="15.75" hidden="false" customHeight="true" outlineLevel="0" collapsed="false">
      <c r="B8" s="3" t="s">
        <v>2</v>
      </c>
      <c r="C8" s="3"/>
      <c r="D8" s="3"/>
      <c r="E8" s="3"/>
      <c r="F8" s="3"/>
      <c r="G8" s="3"/>
    </row>
    <row r="9" customFormat="false" ht="18" hidden="false" customHeight="true" outlineLevel="0" collapsed="false">
      <c r="B9" s="4" t="s">
        <v>3</v>
      </c>
      <c r="C9" s="4"/>
      <c r="D9" s="5" t="s">
        <v>4</v>
      </c>
      <c r="E9" s="5"/>
    </row>
    <row r="10" customFormat="false" ht="27.75" hidden="false" customHeight="true" outlineLevel="0" collapsed="false">
      <c r="B10" s="4"/>
      <c r="C10" s="4"/>
      <c r="D10" s="5"/>
      <c r="E10" s="5"/>
    </row>
    <row r="11" customFormat="false" ht="18" hidden="false" customHeight="true" outlineLevel="0" collapsed="false">
      <c r="B11" s="4"/>
      <c r="C11" s="4"/>
      <c r="D11" s="5"/>
      <c r="E11" s="5"/>
    </row>
    <row r="12" customFormat="false" ht="18" hidden="false" customHeight="true" outlineLevel="0" collapsed="false">
      <c r="B12" s="4"/>
      <c r="C12" s="4"/>
      <c r="D12" s="5"/>
      <c r="E12" s="5"/>
    </row>
    <row r="13" customFormat="false" ht="18" hidden="false" customHeight="true" outlineLevel="0" collapsed="false">
      <c r="B13" s="6" t="s">
        <v>5</v>
      </c>
      <c r="C13" s="6"/>
      <c r="D13" s="4" t="s">
        <v>6</v>
      </c>
      <c r="E13" s="4"/>
    </row>
    <row r="14" customFormat="false" ht="27.75" hidden="false" customHeight="true" outlineLevel="0" collapsed="false">
      <c r="B14" s="6"/>
      <c r="C14" s="6"/>
      <c r="D14" s="4"/>
      <c r="E14" s="4"/>
    </row>
    <row r="15" customFormat="false" ht="18" hidden="false" customHeight="true" outlineLevel="0" collapsed="false">
      <c r="B15" s="6"/>
      <c r="C15" s="6"/>
      <c r="D15" s="4"/>
      <c r="E15" s="4"/>
    </row>
    <row r="16" customFormat="false" ht="18" hidden="false" customHeight="true" outlineLevel="0" collapsed="false">
      <c r="B16" s="6"/>
      <c r="C16" s="6"/>
      <c r="D16" s="4"/>
      <c r="E16" s="4"/>
    </row>
    <row r="17" customFormat="false" ht="9.75" hidden="false" customHeight="true" outlineLevel="0" collapsed="false"/>
    <row r="18" customFormat="false" ht="21.75" hidden="false" customHeight="true" outlineLevel="0" collapsed="false">
      <c r="A18" s="7" t="s">
        <v>7</v>
      </c>
      <c r="B18" s="7"/>
      <c r="C18" s="7"/>
      <c r="D18" s="7"/>
      <c r="E18" s="7"/>
      <c r="F18" s="7"/>
      <c r="G18" s="7"/>
    </row>
    <row r="19" customFormat="false" ht="21.75" hidden="false" customHeight="true" outlineLevel="0" collapsed="false">
      <c r="B19" s="8" t="s">
        <v>8</v>
      </c>
      <c r="C19" s="8" t="s">
        <v>9</v>
      </c>
      <c r="D19" s="8" t="s">
        <v>10</v>
      </c>
      <c r="E19" s="8" t="s">
        <v>11</v>
      </c>
      <c r="F19" s="8" t="s">
        <v>12</v>
      </c>
    </row>
    <row r="20" customFormat="false" ht="45.75" hidden="false" customHeight="true" outlineLevel="0" collapsed="false">
      <c r="B20" s="9" t="s">
        <v>13</v>
      </c>
      <c r="C20" s="9" t="s">
        <v>14</v>
      </c>
      <c r="D20" s="9" t="s">
        <v>15</v>
      </c>
      <c r="E20" s="9" t="s">
        <v>16</v>
      </c>
      <c r="F20" s="9" t="s">
        <v>17</v>
      </c>
    </row>
    <row r="21" customFormat="false" ht="45.75" hidden="false" customHeight="true" outlineLevel="0" collapsed="false">
      <c r="B21" s="10" t="s">
        <v>18</v>
      </c>
      <c r="C21" s="10" t="s">
        <v>19</v>
      </c>
      <c r="D21" s="10" t="s">
        <v>20</v>
      </c>
      <c r="E21" s="10" t="s">
        <v>21</v>
      </c>
      <c r="F21" s="10" t="s">
        <v>22</v>
      </c>
    </row>
    <row r="22" customFormat="false" ht="45.75" hidden="false" customHeight="true" outlineLevel="0" collapsed="false">
      <c r="B22" s="9" t="s">
        <v>23</v>
      </c>
      <c r="C22" s="9" t="s">
        <v>24</v>
      </c>
      <c r="D22" s="9" t="s">
        <v>25</v>
      </c>
      <c r="E22" s="9" t="s">
        <v>26</v>
      </c>
      <c r="F22" s="9" t="s">
        <v>27</v>
      </c>
    </row>
    <row r="23" customFormat="false" ht="45.75" hidden="false" customHeight="true" outlineLevel="0" collapsed="false">
      <c r="B23" s="10" t="s">
        <v>28</v>
      </c>
      <c r="C23" s="10" t="s">
        <v>29</v>
      </c>
      <c r="D23" s="10" t="s">
        <v>30</v>
      </c>
      <c r="E23" s="10" t="s">
        <v>31</v>
      </c>
      <c r="F23" s="10" t="s">
        <v>32</v>
      </c>
    </row>
    <row r="24" customFormat="false" ht="9.75" hidden="false" customHeight="true" outlineLevel="0" collapsed="false"/>
    <row r="25" customFormat="false" ht="18" hidden="false" customHeight="true" outlineLevel="0" collapsed="false">
      <c r="A25" s="11" t="s">
        <v>33</v>
      </c>
      <c r="B25" s="11"/>
      <c r="C25" s="11"/>
      <c r="D25" s="11"/>
      <c r="E25" s="11"/>
      <c r="F25" s="11"/>
      <c r="G25" s="11"/>
    </row>
    <row r="26" customFormat="false" ht="21.75" hidden="false" customHeight="true" outlineLevel="0" collapsed="false">
      <c r="B26" s="12" t="s">
        <v>34</v>
      </c>
      <c r="C26" s="12"/>
      <c r="D26" s="12"/>
      <c r="E26" s="12"/>
      <c r="F26" s="12"/>
      <c r="G26" s="12"/>
    </row>
  </sheetData>
  <mergeCells count="10">
    <mergeCell ref="B1:G5"/>
    <mergeCell ref="B6:G6"/>
    <mergeCell ref="B8:G8"/>
    <mergeCell ref="B9:C12"/>
    <mergeCell ref="D9:E12"/>
    <mergeCell ref="B13:C16"/>
    <mergeCell ref="D13:E16"/>
    <mergeCell ref="A18:G18"/>
    <mergeCell ref="A25:G25"/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6"/>
    <col collapsed="false" customWidth="true" hidden="false" outlineLevel="0" max="8" min="8" style="0" width="3"/>
  </cols>
  <sheetData>
    <row r="1" customFormat="false" ht="13.5" hidden="false" customHeight="true" outlineLevel="0" collapsed="false">
      <c r="B1" s="13" t="s">
        <v>35</v>
      </c>
      <c r="C1" s="13"/>
      <c r="D1" s="13"/>
      <c r="E1" s="13"/>
      <c r="F1" s="13"/>
      <c r="G1" s="13"/>
    </row>
    <row r="2" customFormat="false" ht="27.75" hidden="false" customHeight="true" outlineLevel="0" collapsed="false">
      <c r="B2" s="13"/>
      <c r="C2" s="13"/>
      <c r="D2" s="13"/>
      <c r="E2" s="13"/>
      <c r="F2" s="13"/>
      <c r="G2" s="13"/>
    </row>
    <row r="3" customFormat="false" ht="13.5" hidden="false" customHeight="true" outlineLevel="0" collapsed="false">
      <c r="B3" s="13"/>
      <c r="C3" s="13"/>
      <c r="D3" s="13"/>
      <c r="E3" s="13"/>
      <c r="F3" s="13"/>
      <c r="G3" s="13"/>
    </row>
    <row r="5" customFormat="false" ht="21.75" hidden="false" customHeight="true" outlineLevel="0" collapsed="false">
      <c r="A5" s="14" t="s">
        <v>36</v>
      </c>
      <c r="B5" s="14"/>
      <c r="C5" s="14"/>
      <c r="D5" s="14"/>
      <c r="E5" s="14"/>
      <c r="F5" s="14"/>
      <c r="G5" s="14"/>
    </row>
    <row r="6" customFormat="false" ht="19.5" hidden="false" customHeight="true" outlineLevel="0" collapsed="false">
      <c r="B6" s="15" t="s">
        <v>37</v>
      </c>
      <c r="C6" s="15" t="s">
        <v>38</v>
      </c>
      <c r="D6" s="15" t="s">
        <v>39</v>
      </c>
    </row>
    <row r="7" customFormat="false" ht="19.5" hidden="false" customHeight="true" outlineLevel="0" collapsed="false">
      <c r="B7" s="16" t="s">
        <v>40</v>
      </c>
      <c r="C7" s="17" t="n">
        <v>0.41</v>
      </c>
      <c r="D7" s="18" t="s">
        <v>41</v>
      </c>
    </row>
    <row r="8" customFormat="false" ht="19.5" hidden="false" customHeight="true" outlineLevel="0" collapsed="false">
      <c r="B8" s="19" t="s">
        <v>42</v>
      </c>
      <c r="C8" s="20" t="n">
        <v>0.56</v>
      </c>
      <c r="D8" s="21" t="s">
        <v>43</v>
      </c>
    </row>
    <row r="9" customFormat="false" ht="19.5" hidden="false" customHeight="true" outlineLevel="0" collapsed="false">
      <c r="B9" s="16" t="s">
        <v>44</v>
      </c>
      <c r="C9" s="17" t="n">
        <v>0.48</v>
      </c>
      <c r="D9" s="18" t="s">
        <v>45</v>
      </c>
    </row>
    <row r="10" customFormat="false" ht="19.5" hidden="false" customHeight="true" outlineLevel="0" collapsed="false">
      <c r="B10" s="19" t="s">
        <v>46</v>
      </c>
      <c r="C10" s="22" t="n">
        <v>15200</v>
      </c>
      <c r="D10" s="21" t="s">
        <v>47</v>
      </c>
    </row>
    <row r="11" customFormat="false" ht="19.5" hidden="false" customHeight="true" outlineLevel="0" collapsed="false">
      <c r="B11" s="16" t="s">
        <v>48</v>
      </c>
      <c r="C11" s="23" t="n">
        <v>22000</v>
      </c>
      <c r="D11" s="18" t="s">
        <v>49</v>
      </c>
    </row>
    <row r="12" customFormat="false" ht="19.5" hidden="false" customHeight="true" outlineLevel="0" collapsed="false">
      <c r="B12" s="19" t="s">
        <v>50</v>
      </c>
      <c r="C12" s="24" t="n">
        <v>3.5</v>
      </c>
      <c r="D12" s="21" t="s">
        <v>51</v>
      </c>
    </row>
    <row r="13" customFormat="false" ht="19.5" hidden="false" customHeight="true" outlineLevel="0" collapsed="false">
      <c r="B13" s="16" t="s">
        <v>52</v>
      </c>
      <c r="C13" s="17" t="n">
        <v>0.03</v>
      </c>
      <c r="D13" s="18" t="s">
        <v>53</v>
      </c>
    </row>
    <row r="15" customFormat="false" ht="12" hidden="false" customHeight="true" outlineLevel="0" collapsed="false"/>
    <row r="16" customFormat="false" ht="21.75" hidden="false" customHeight="true" outlineLevel="0" collapsed="false">
      <c r="A16" s="25" t="s">
        <v>54</v>
      </c>
      <c r="B16" s="25"/>
      <c r="C16" s="25"/>
      <c r="D16" s="25"/>
      <c r="E16" s="25"/>
      <c r="F16" s="25"/>
      <c r="G16" s="25"/>
    </row>
    <row r="17" customFormat="false" ht="19.5" hidden="false" customHeight="true" outlineLevel="0" collapsed="false">
      <c r="B17" s="8" t="s">
        <v>55</v>
      </c>
      <c r="C17" s="8" t="s">
        <v>38</v>
      </c>
      <c r="D17" s="8" t="s">
        <v>56</v>
      </c>
    </row>
    <row r="18" customFormat="false" ht="19.5" hidden="false" customHeight="true" outlineLevel="0" collapsed="false">
      <c r="B18" s="16" t="s">
        <v>57</v>
      </c>
      <c r="C18" s="26" t="n">
        <f aca="false">C8-C7</f>
        <v>0.15</v>
      </c>
      <c r="D18" s="18" t="s">
        <v>58</v>
      </c>
    </row>
    <row r="19" customFormat="false" ht="19.5" hidden="false" customHeight="true" outlineLevel="0" collapsed="false">
      <c r="B19" s="19" t="s">
        <v>59</v>
      </c>
      <c r="C19" s="27" t="n">
        <f aca="false">(C8-C7)/C7</f>
        <v>0.365853658536586</v>
      </c>
      <c r="D19" s="21" t="s">
        <v>60</v>
      </c>
    </row>
    <row r="20" customFormat="false" ht="19.5" hidden="false" customHeight="true" outlineLevel="0" collapsed="false">
      <c r="B20" s="16" t="s">
        <v>61</v>
      </c>
      <c r="C20" s="28" t="n">
        <f aca="false">ROUND(C10*(C8-C7),0)</f>
        <v>2280</v>
      </c>
      <c r="D20" s="18" t="s">
        <v>62</v>
      </c>
    </row>
    <row r="21" customFormat="false" ht="19.5" hidden="false" customHeight="true" outlineLevel="0" collapsed="false">
      <c r="B21" s="19" t="s">
        <v>63</v>
      </c>
      <c r="C21" s="29" t="n">
        <f aca="false">ROUND(C10*(C8-C7)*C11,0)</f>
        <v>50160000</v>
      </c>
      <c r="D21" s="21" t="s">
        <v>64</v>
      </c>
    </row>
    <row r="22" customFormat="false" ht="19.5" hidden="false" customHeight="true" outlineLevel="0" collapsed="false">
      <c r="B22" s="16" t="s">
        <v>65</v>
      </c>
      <c r="C22" s="26" t="n">
        <f aca="false">C8-C9</f>
        <v>0.0800000000000001</v>
      </c>
      <c r="D22" s="18" t="s">
        <v>66</v>
      </c>
    </row>
    <row r="23" customFormat="false" ht="19.5" hidden="false" customHeight="true" outlineLevel="0" collapsed="false">
      <c r="B23" s="19" t="s">
        <v>67</v>
      </c>
      <c r="C23" s="29" t="n">
        <f aca="false">ROUND(C10*(C8-C7)*0.68,0)</f>
        <v>1550</v>
      </c>
      <c r="D23" s="21" t="s">
        <v>68</v>
      </c>
    </row>
    <row r="26" customFormat="false" ht="12" hidden="false" customHeight="true" outlineLevel="0" collapsed="false"/>
    <row r="27" customFormat="false" ht="21.75" hidden="false" customHeight="true" outlineLevel="0" collapsed="false">
      <c r="A27" s="14" t="s">
        <v>69</v>
      </c>
      <c r="B27" s="14"/>
      <c r="C27" s="14"/>
      <c r="D27" s="14"/>
      <c r="E27" s="14"/>
      <c r="F27" s="14"/>
      <c r="G27" s="14"/>
    </row>
    <row r="28" customFormat="false" ht="18" hidden="false" customHeight="true" outlineLevel="0" collapsed="false">
      <c r="B28" s="15" t="s">
        <v>70</v>
      </c>
      <c r="C28" s="15" t="s">
        <v>71</v>
      </c>
    </row>
    <row r="29" customFormat="false" ht="18" hidden="false" customHeight="true" outlineLevel="0" collapsed="false">
      <c r="B29" s="30" t="s">
        <v>72</v>
      </c>
      <c r="C29" s="31" t="n">
        <f aca="false">C7</f>
        <v>0.41</v>
      </c>
    </row>
    <row r="30" customFormat="false" ht="18" hidden="false" customHeight="true" outlineLevel="0" collapsed="false">
      <c r="B30" s="30" t="s">
        <v>73</v>
      </c>
      <c r="C30" s="31" t="n">
        <f aca="false">C8</f>
        <v>0.56</v>
      </c>
    </row>
    <row r="31" customFormat="false" ht="18" hidden="false" customHeight="true" outlineLevel="0" collapsed="false">
      <c r="B31" s="30" t="s">
        <v>74</v>
      </c>
      <c r="C31" s="31" t="n">
        <f aca="false">C9</f>
        <v>0.48</v>
      </c>
    </row>
  </sheetData>
  <mergeCells count="4">
    <mergeCell ref="B1:G3"/>
    <mergeCell ref="A5:G5"/>
    <mergeCell ref="A16:G16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6"/>
    <col collapsed="false" customWidth="true" hidden="false" outlineLevel="0" max="8" min="8" style="0" width="3"/>
  </cols>
  <sheetData>
    <row r="1" customFormat="false" ht="15" hidden="false" customHeight="true" outlineLevel="0" collapsed="false">
      <c r="B1" s="32" t="s">
        <v>75</v>
      </c>
      <c r="C1" s="32"/>
      <c r="D1" s="32"/>
      <c r="E1" s="32"/>
      <c r="F1" s="32"/>
      <c r="G1" s="32"/>
    </row>
    <row r="2" customFormat="false" ht="27.75" hidden="false" customHeight="true" outlineLevel="0" collapsed="false">
      <c r="B2" s="32"/>
      <c r="C2" s="32"/>
      <c r="D2" s="32"/>
      <c r="E2" s="32"/>
      <c r="F2" s="32"/>
      <c r="G2" s="32"/>
    </row>
    <row r="3" customFormat="false" ht="15" hidden="false" customHeight="false" outlineLevel="0" collapsed="false">
      <c r="B3" s="32"/>
      <c r="C3" s="32"/>
      <c r="D3" s="32"/>
      <c r="E3" s="32"/>
      <c r="F3" s="32"/>
      <c r="G3" s="32"/>
    </row>
    <row r="5" customFormat="false" ht="19.5" hidden="false" customHeight="true" outlineLevel="0" collapsed="false">
      <c r="A5" s="14" t="s">
        <v>36</v>
      </c>
      <c r="B5" s="14"/>
      <c r="C5" s="14"/>
      <c r="D5" s="14"/>
      <c r="E5" s="14"/>
      <c r="F5" s="14"/>
      <c r="G5" s="14"/>
    </row>
    <row r="6" customFormat="false" ht="19.5" hidden="false" customHeight="true" outlineLevel="0" collapsed="false">
      <c r="B6" s="15" t="s">
        <v>37</v>
      </c>
      <c r="C6" s="15" t="s">
        <v>38</v>
      </c>
      <c r="D6" s="15" t="s">
        <v>39</v>
      </c>
    </row>
    <row r="7" customFormat="false" ht="19.5" hidden="false" customHeight="true" outlineLevel="0" collapsed="false">
      <c r="B7" s="16" t="s">
        <v>76</v>
      </c>
      <c r="C7" s="33" t="n">
        <v>28</v>
      </c>
      <c r="D7" s="18" t="s">
        <v>77</v>
      </c>
    </row>
    <row r="8" customFormat="false" ht="19.5" hidden="false" customHeight="true" outlineLevel="0" collapsed="false">
      <c r="B8" s="19" t="s">
        <v>78</v>
      </c>
      <c r="C8" s="34" t="n">
        <v>3.5</v>
      </c>
      <c r="D8" s="21" t="s">
        <v>51</v>
      </c>
    </row>
    <row r="9" customFormat="false" ht="19.5" hidden="false" customHeight="true" outlineLevel="0" collapsed="false">
      <c r="B9" s="16" t="s">
        <v>79</v>
      </c>
      <c r="C9" s="17" t="n">
        <v>0.03</v>
      </c>
      <c r="D9" s="18" t="s">
        <v>80</v>
      </c>
    </row>
    <row r="10" customFormat="false" ht="19.5" hidden="false" customHeight="true" outlineLevel="0" collapsed="false">
      <c r="B10" s="19" t="s">
        <v>81</v>
      </c>
      <c r="C10" s="20" t="n">
        <v>0.22</v>
      </c>
      <c r="D10" s="21" t="s">
        <v>82</v>
      </c>
    </row>
    <row r="11" customFormat="false" ht="19.5" hidden="false" customHeight="true" outlineLevel="0" collapsed="false">
      <c r="B11" s="16" t="s">
        <v>83</v>
      </c>
      <c r="C11" s="33" t="n">
        <v>1.5</v>
      </c>
      <c r="D11" s="18" t="s">
        <v>84</v>
      </c>
    </row>
    <row r="12" customFormat="false" ht="19.5" hidden="false" customHeight="true" outlineLevel="0" collapsed="false">
      <c r="B12" s="19" t="s">
        <v>85</v>
      </c>
      <c r="C12" s="34" t="n">
        <v>12</v>
      </c>
      <c r="D12" s="21" t="s">
        <v>86</v>
      </c>
    </row>
    <row r="13" customFormat="false" ht="19.5" hidden="false" customHeight="true" outlineLevel="0" collapsed="false">
      <c r="B13" s="16" t="s">
        <v>87</v>
      </c>
      <c r="C13" s="23" t="n">
        <v>850</v>
      </c>
      <c r="D13" s="18" t="s">
        <v>88</v>
      </c>
    </row>
    <row r="16" customFormat="false" ht="19.5" hidden="false" customHeight="true" outlineLevel="0" collapsed="false">
      <c r="A16" s="25" t="s">
        <v>89</v>
      </c>
      <c r="B16" s="25"/>
      <c r="C16" s="25"/>
      <c r="D16" s="25"/>
      <c r="E16" s="25"/>
      <c r="F16" s="25"/>
      <c r="G16" s="25"/>
    </row>
    <row r="17" customFormat="false" ht="19.5" hidden="false" customHeight="true" outlineLevel="0" collapsed="false">
      <c r="B17" s="8" t="s">
        <v>55</v>
      </c>
      <c r="C17" s="8" t="s">
        <v>38</v>
      </c>
      <c r="D17" s="8" t="s">
        <v>90</v>
      </c>
    </row>
    <row r="18" customFormat="false" ht="19.5" hidden="false" customHeight="true" outlineLevel="0" collapsed="false">
      <c r="B18" s="16" t="s">
        <v>91</v>
      </c>
      <c r="C18" s="35" t="n">
        <f aca="false">C7*C8</f>
        <v>98</v>
      </c>
    </row>
    <row r="19" customFormat="false" ht="19.5" hidden="false" customHeight="true" outlineLevel="0" collapsed="false">
      <c r="B19" s="19" t="s">
        <v>92</v>
      </c>
      <c r="C19" s="36" t="n">
        <f aca="false">C7*(1-C10)*C9</f>
        <v>0.6552</v>
      </c>
    </row>
    <row r="20" customFormat="false" ht="19.5" hidden="false" customHeight="true" outlineLevel="0" collapsed="false">
      <c r="B20" s="16" t="s">
        <v>93</v>
      </c>
      <c r="C20" s="35" t="n">
        <f aca="false">C7*C10*C11</f>
        <v>9.24</v>
      </c>
    </row>
    <row r="21" customFormat="false" ht="19.5" hidden="false" customHeight="true" outlineLevel="0" collapsed="false">
      <c r="B21" s="19" t="s">
        <v>94</v>
      </c>
      <c r="C21" s="36" t="n">
        <f aca="false">C7*(1-C10)*C9+C7*C10*C11</f>
        <v>9.8952</v>
      </c>
    </row>
    <row r="22" customFormat="false" ht="19.5" hidden="false" customHeight="true" outlineLevel="0" collapsed="false">
      <c r="B22" s="16" t="s">
        <v>95</v>
      </c>
      <c r="C22" s="35" t="n">
        <f aca="false">C7*C8-(C7*(1-C10)*C9+C7*C10*C11)</f>
        <v>88.1048</v>
      </c>
    </row>
    <row r="23" customFormat="false" ht="19.5" hidden="false" customHeight="true" outlineLevel="0" collapsed="false">
      <c r="B23" s="19" t="s">
        <v>96</v>
      </c>
      <c r="C23" s="36" t="n">
        <f aca="false">(C7*C8-(C7*(1-C10)*C9+C7*C10*C11))*C12</f>
        <v>1057.2576</v>
      </c>
    </row>
    <row r="24" customFormat="false" ht="19.5" hidden="false" customHeight="true" outlineLevel="0" collapsed="false">
      <c r="B24" s="16" t="s">
        <v>97</v>
      </c>
      <c r="C24" s="28" t="n">
        <f aca="false">(C7*C8-(C7*(1-C10)*C9+C7*C10*C11))*C12*52</f>
        <v>54977.3952</v>
      </c>
    </row>
    <row r="25" customFormat="false" ht="19.5" hidden="false" customHeight="true" outlineLevel="0" collapsed="false">
      <c r="B25" s="19" t="s">
        <v>98</v>
      </c>
      <c r="C25" s="29" t="n">
        <f aca="false">(C7*C8-(C7*(1-C10)*C9+C7*C10*C11))*C12*C13</f>
        <v>898668.96</v>
      </c>
    </row>
    <row r="26" customFormat="false" ht="19.5" hidden="false" customHeight="true" outlineLevel="0" collapsed="false">
      <c r="B26" s="16" t="s">
        <v>99</v>
      </c>
      <c r="C26" s="28" t="n">
        <f aca="false">(C7*C8-(C7*(1-C10)*C9+C7*C10*C11))*C12*C13*52</f>
        <v>46730785.92</v>
      </c>
    </row>
  </sheetData>
  <mergeCells count="3">
    <mergeCell ref="B1:G3"/>
    <mergeCell ref="A5:G5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6" min="5" style="0" width="20"/>
    <col collapsed="false" customWidth="true" hidden="false" outlineLevel="0" max="7" min="7" style="0" width="14"/>
    <col collapsed="false" customWidth="true" hidden="false" outlineLevel="0" max="8" min="8" style="0" width="3"/>
  </cols>
  <sheetData>
    <row r="1" customFormat="false" ht="15" hidden="false" customHeight="true" outlineLevel="0" collapsed="false">
      <c r="B1" s="37" t="s">
        <v>100</v>
      </c>
      <c r="C1" s="37"/>
      <c r="D1" s="37"/>
      <c r="E1" s="37"/>
      <c r="F1" s="37"/>
      <c r="G1" s="37"/>
    </row>
    <row r="2" customFormat="false" ht="27.75" hidden="false" customHeight="true" outlineLevel="0" collapsed="false">
      <c r="B2" s="37"/>
      <c r="C2" s="37"/>
      <c r="D2" s="37"/>
      <c r="E2" s="37"/>
      <c r="F2" s="37"/>
      <c r="G2" s="37"/>
    </row>
    <row r="3" customFormat="false" ht="15" hidden="false" customHeight="false" outlineLevel="0" collapsed="false">
      <c r="B3" s="37"/>
      <c r="C3" s="37"/>
      <c r="D3" s="37"/>
      <c r="E3" s="37"/>
      <c r="F3" s="37"/>
      <c r="G3" s="37"/>
    </row>
    <row r="5" customFormat="false" ht="21.75" hidden="false" customHeight="true" outlineLevel="0" collapsed="false">
      <c r="A5" s="7" t="s">
        <v>101</v>
      </c>
      <c r="B5" s="7"/>
      <c r="C5" s="7"/>
      <c r="D5" s="7"/>
      <c r="E5" s="7"/>
      <c r="F5" s="7"/>
      <c r="G5" s="7"/>
    </row>
    <row r="6" customFormat="false" ht="36" hidden="false" customHeight="true" outlineLevel="0" collapsed="false">
      <c r="B6" s="38" t="s">
        <v>102</v>
      </c>
      <c r="C6" s="38" t="s">
        <v>103</v>
      </c>
      <c r="D6" s="38" t="s">
        <v>104</v>
      </c>
      <c r="E6" s="38" t="s">
        <v>105</v>
      </c>
      <c r="F6" s="38" t="s">
        <v>106</v>
      </c>
      <c r="G6" s="38" t="s">
        <v>107</v>
      </c>
      <c r="H6" s="38" t="s">
        <v>108</v>
      </c>
    </row>
    <row r="7" customFormat="false" ht="45.75" hidden="false" customHeight="true" outlineLevel="0" collapsed="false">
      <c r="B7" s="39" t="s">
        <v>109</v>
      </c>
      <c r="C7" s="40" t="n">
        <v>47</v>
      </c>
      <c r="D7" s="40" t="n">
        <v>4</v>
      </c>
      <c r="E7" s="26" t="n">
        <f aca="false">(C7-D7)/C7</f>
        <v>0.914893617021277</v>
      </c>
      <c r="F7" s="41" t="s">
        <v>110</v>
      </c>
      <c r="G7" s="42" t="s">
        <v>111</v>
      </c>
      <c r="H7" s="43" t="s">
        <v>112</v>
      </c>
    </row>
    <row r="8" customFormat="false" ht="45.75" hidden="false" customHeight="true" outlineLevel="0" collapsed="false">
      <c r="B8" s="44" t="s">
        <v>113</v>
      </c>
      <c r="C8" s="45" t="n">
        <v>31</v>
      </c>
      <c r="D8" s="45" t="n">
        <v>3</v>
      </c>
      <c r="E8" s="27" t="n">
        <f aca="false">(C8-D8)/C8</f>
        <v>0.903225806451613</v>
      </c>
      <c r="F8" s="46" t="s">
        <v>114</v>
      </c>
      <c r="G8" s="47" t="s">
        <v>115</v>
      </c>
      <c r="H8" s="48" t="s">
        <v>112</v>
      </c>
    </row>
    <row r="9" customFormat="false" ht="45.75" hidden="false" customHeight="true" outlineLevel="0" collapsed="false">
      <c r="B9" s="39" t="s">
        <v>116</v>
      </c>
      <c r="C9" s="40" t="n">
        <v>18</v>
      </c>
      <c r="D9" s="40" t="n">
        <v>2</v>
      </c>
      <c r="E9" s="26" t="n">
        <f aca="false">(C9-D9)/C9</f>
        <v>0.888888888888889</v>
      </c>
      <c r="F9" s="41" t="s">
        <v>117</v>
      </c>
      <c r="G9" s="42" t="s">
        <v>118</v>
      </c>
      <c r="H9" s="49" t="s">
        <v>119</v>
      </c>
    </row>
    <row r="10" customFormat="false" ht="45.75" hidden="false" customHeight="true" outlineLevel="0" collapsed="false">
      <c r="B10" s="44" t="s">
        <v>120</v>
      </c>
      <c r="C10" s="45" t="n">
        <v>12</v>
      </c>
      <c r="D10" s="45" t="n">
        <v>0</v>
      </c>
      <c r="E10" s="27" t="n">
        <f aca="false">(C10-D10)/C10</f>
        <v>1</v>
      </c>
      <c r="F10" s="46" t="s">
        <v>121</v>
      </c>
      <c r="G10" s="47" t="s">
        <v>122</v>
      </c>
      <c r="H10" s="48" t="s">
        <v>112</v>
      </c>
    </row>
    <row r="11" customFormat="false" ht="45.75" hidden="false" customHeight="true" outlineLevel="0" collapsed="false">
      <c r="B11" s="39" t="s">
        <v>123</v>
      </c>
      <c r="C11" s="40" t="n">
        <v>23</v>
      </c>
      <c r="D11" s="40" t="n">
        <v>0</v>
      </c>
      <c r="E11" s="26" t="n">
        <f aca="false">(C11-D11)/C11</f>
        <v>1</v>
      </c>
      <c r="F11" s="41" t="s">
        <v>124</v>
      </c>
      <c r="G11" s="42" t="s">
        <v>125</v>
      </c>
      <c r="H11" s="43" t="s">
        <v>112</v>
      </c>
    </row>
    <row r="12" customFormat="false" ht="24" hidden="false" customHeight="true" outlineLevel="0" collapsed="false">
      <c r="B12" s="15" t="s">
        <v>126</v>
      </c>
      <c r="C12" s="50" t="n">
        <f aca="false">SUM(C7:C11)</f>
        <v>131</v>
      </c>
      <c r="D12" s="50" t="n">
        <f aca="false">SUM(D7:D11)</f>
        <v>9</v>
      </c>
      <c r="E12" s="51" t="n">
        <f aca="false">(C12-D12)/C12</f>
        <v>0.931297709923664</v>
      </c>
    </row>
    <row r="14" customFormat="false" ht="19.5" hidden="false" customHeight="true" outlineLevel="0" collapsed="false">
      <c r="A14" s="25" t="s">
        <v>127</v>
      </c>
      <c r="B14" s="25"/>
      <c r="C14" s="25"/>
      <c r="D14" s="25"/>
      <c r="E14" s="25"/>
      <c r="F14" s="25"/>
      <c r="G14" s="25"/>
    </row>
    <row r="15" customFormat="false" ht="19.5" hidden="false" customHeight="true" outlineLevel="0" collapsed="false">
      <c r="B15" s="38" t="s">
        <v>128</v>
      </c>
      <c r="C15" s="38" t="s">
        <v>129</v>
      </c>
      <c r="D15" s="38" t="s">
        <v>130</v>
      </c>
      <c r="E15" s="38" t="s">
        <v>131</v>
      </c>
      <c r="F15" s="38" t="s">
        <v>132</v>
      </c>
    </row>
    <row r="16" customFormat="false" ht="21.75" hidden="false" customHeight="true" outlineLevel="0" collapsed="false">
      <c r="B16" s="9" t="s">
        <v>133</v>
      </c>
      <c r="C16" s="9" t="s">
        <v>134</v>
      </c>
      <c r="D16" s="9" t="s">
        <v>135</v>
      </c>
      <c r="E16" s="9" t="s">
        <v>136</v>
      </c>
      <c r="F16" s="9" t="s">
        <v>137</v>
      </c>
    </row>
    <row r="17" customFormat="false" ht="21.75" hidden="false" customHeight="true" outlineLevel="0" collapsed="false">
      <c r="B17" s="10" t="s">
        <v>138</v>
      </c>
      <c r="C17" s="10" t="s">
        <v>139</v>
      </c>
      <c r="D17" s="10" t="s">
        <v>140</v>
      </c>
      <c r="E17" s="10" t="s">
        <v>141</v>
      </c>
      <c r="F17" s="10" t="s">
        <v>142</v>
      </c>
    </row>
    <row r="18" customFormat="false" ht="21.75" hidden="false" customHeight="true" outlineLevel="0" collapsed="false">
      <c r="B18" s="9" t="s">
        <v>143</v>
      </c>
      <c r="C18" s="9" t="s">
        <v>144</v>
      </c>
      <c r="D18" s="9" t="s">
        <v>145</v>
      </c>
      <c r="E18" s="9" t="s">
        <v>146</v>
      </c>
      <c r="F18" s="9" t="s">
        <v>147</v>
      </c>
    </row>
    <row r="19" customFormat="false" ht="21.75" hidden="false" customHeight="true" outlineLevel="0" collapsed="false">
      <c r="B19" s="10" t="s">
        <v>148</v>
      </c>
      <c r="C19" s="10" t="s">
        <v>149</v>
      </c>
      <c r="D19" s="10" t="s">
        <v>150</v>
      </c>
      <c r="E19" s="10" t="s">
        <v>136</v>
      </c>
      <c r="F19" s="10" t="s">
        <v>151</v>
      </c>
    </row>
  </sheetData>
  <mergeCells count="3">
    <mergeCell ref="B1:G3"/>
    <mergeCell ref="A5:G5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3"/>
  </cols>
  <sheetData>
    <row r="1" customFormat="false" ht="15" hidden="false" customHeight="true" outlineLevel="0" collapsed="false">
      <c r="B1" s="13" t="s">
        <v>152</v>
      </c>
      <c r="C1" s="13"/>
      <c r="D1" s="13"/>
      <c r="E1" s="13"/>
      <c r="F1" s="13"/>
      <c r="G1" s="13"/>
    </row>
    <row r="2" customFormat="false" ht="27.75" hidden="false" customHeight="true" outlineLevel="0" collapsed="false">
      <c r="B2" s="13"/>
      <c r="C2" s="13"/>
      <c r="D2" s="13"/>
      <c r="E2" s="13"/>
      <c r="F2" s="13"/>
      <c r="G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</row>
    <row r="5" customFormat="false" ht="21.75" hidden="false" customHeight="true" outlineLevel="0" collapsed="false">
      <c r="A5" s="7" t="s">
        <v>153</v>
      </c>
      <c r="B5" s="7"/>
      <c r="C5" s="7"/>
      <c r="D5" s="7"/>
      <c r="E5" s="7"/>
      <c r="F5" s="7"/>
      <c r="G5" s="7"/>
    </row>
    <row r="6" customFormat="false" ht="36" hidden="false" customHeight="true" outlineLevel="0" collapsed="false">
      <c r="B6" s="38" t="s">
        <v>154</v>
      </c>
      <c r="C6" s="38" t="s">
        <v>155</v>
      </c>
      <c r="D6" s="38" t="s">
        <v>156</v>
      </c>
      <c r="E6" s="38" t="s">
        <v>157</v>
      </c>
      <c r="F6" s="38" t="s">
        <v>158</v>
      </c>
      <c r="G6" s="38" t="s">
        <v>159</v>
      </c>
      <c r="H6" s="38" t="s">
        <v>160</v>
      </c>
    </row>
    <row r="7" customFormat="false" ht="43.5" hidden="false" customHeight="true" outlineLevel="0" collapsed="false">
      <c r="B7" s="39" t="s">
        <v>161</v>
      </c>
      <c r="C7" s="23" t="n">
        <v>45000</v>
      </c>
      <c r="D7" s="41" t="s">
        <v>162</v>
      </c>
      <c r="E7" s="52" t="s">
        <v>163</v>
      </c>
      <c r="F7" s="9" t="s">
        <v>164</v>
      </c>
      <c r="G7" s="53" t="n">
        <v>1</v>
      </c>
      <c r="H7" s="54" t="s">
        <v>165</v>
      </c>
    </row>
    <row r="8" customFormat="false" ht="43.5" hidden="false" customHeight="true" outlineLevel="0" collapsed="false">
      <c r="B8" s="44" t="s">
        <v>166</v>
      </c>
      <c r="C8" s="22" t="n">
        <v>3200</v>
      </c>
      <c r="D8" s="46" t="s">
        <v>167</v>
      </c>
      <c r="E8" s="55" t="s">
        <v>168</v>
      </c>
      <c r="F8" s="10" t="s">
        <v>169</v>
      </c>
      <c r="G8" s="56" t="n">
        <v>1</v>
      </c>
      <c r="H8" s="57" t="s">
        <v>165</v>
      </c>
    </row>
    <row r="9" customFormat="false" ht="43.5" hidden="false" customHeight="true" outlineLevel="0" collapsed="false">
      <c r="B9" s="39" t="s">
        <v>170</v>
      </c>
      <c r="C9" s="23" t="n">
        <v>850</v>
      </c>
      <c r="D9" s="41" t="s">
        <v>162</v>
      </c>
      <c r="E9" s="52" t="s">
        <v>163</v>
      </c>
      <c r="F9" s="9" t="s">
        <v>164</v>
      </c>
      <c r="G9" s="53" t="n">
        <v>1</v>
      </c>
      <c r="H9" s="54" t="s">
        <v>165</v>
      </c>
    </row>
    <row r="10" customFormat="false" ht="43.5" hidden="false" customHeight="true" outlineLevel="0" collapsed="false">
      <c r="B10" s="44" t="s">
        <v>171</v>
      </c>
      <c r="C10" s="22" t="n">
        <v>3200</v>
      </c>
      <c r="D10" s="46" t="s">
        <v>162</v>
      </c>
      <c r="E10" s="55" t="s">
        <v>163</v>
      </c>
      <c r="F10" s="10" t="s">
        <v>164</v>
      </c>
      <c r="G10" s="56" t="n">
        <v>1</v>
      </c>
      <c r="H10" s="57" t="s">
        <v>165</v>
      </c>
    </row>
    <row r="11" customFormat="false" ht="43.5" hidden="false" customHeight="true" outlineLevel="0" collapsed="false">
      <c r="B11" s="39" t="s">
        <v>172</v>
      </c>
      <c r="C11" s="23" t="n">
        <v>1200</v>
      </c>
      <c r="D11" s="41" t="s">
        <v>162</v>
      </c>
      <c r="E11" s="52" t="s">
        <v>163</v>
      </c>
      <c r="F11" s="9" t="s">
        <v>164</v>
      </c>
      <c r="G11" s="53" t="n">
        <v>1</v>
      </c>
      <c r="H11" s="54" t="s">
        <v>165</v>
      </c>
    </row>
    <row r="12" customFormat="false" ht="43.5" hidden="false" customHeight="true" outlineLevel="0" collapsed="false">
      <c r="B12" s="44" t="s">
        <v>173</v>
      </c>
      <c r="C12" s="22" t="n">
        <v>48</v>
      </c>
      <c r="D12" s="46" t="s">
        <v>162</v>
      </c>
      <c r="E12" s="55" t="s">
        <v>174</v>
      </c>
      <c r="F12" s="10" t="s">
        <v>164</v>
      </c>
      <c r="G12" s="56" t="n">
        <v>1</v>
      </c>
      <c r="H12" s="57" t="s">
        <v>165</v>
      </c>
    </row>
    <row r="13" customFormat="false" ht="24" hidden="false" customHeight="true" outlineLevel="0" collapsed="false">
      <c r="B13" s="15" t="s">
        <v>175</v>
      </c>
      <c r="C13" s="58" t="n">
        <f aca="false">SUM(C7:C12)</f>
        <v>53498</v>
      </c>
      <c r="G13" s="59" t="n">
        <f aca="false">AVERAGE(G7:G12)</f>
        <v>1</v>
      </c>
    </row>
    <row r="15" customFormat="false" ht="19.5" hidden="false" customHeight="true" outlineLevel="0" collapsed="false">
      <c r="A15" s="25" t="s">
        <v>176</v>
      </c>
      <c r="B15" s="25"/>
      <c r="C15" s="25"/>
      <c r="D15" s="25"/>
      <c r="E15" s="25"/>
      <c r="F15" s="25"/>
      <c r="G15" s="25"/>
    </row>
    <row r="16" customFormat="false" ht="19.5" hidden="false" customHeight="true" outlineLevel="0" collapsed="false">
      <c r="B16" s="38" t="s">
        <v>177</v>
      </c>
      <c r="C16" s="38" t="s">
        <v>178</v>
      </c>
      <c r="D16" s="38" t="s">
        <v>179</v>
      </c>
      <c r="E16" s="38" t="s">
        <v>180</v>
      </c>
      <c r="F16" s="38" t="s">
        <v>181</v>
      </c>
    </row>
    <row r="17" customFormat="false" ht="24" hidden="false" customHeight="true" outlineLevel="0" collapsed="false">
      <c r="B17" s="9" t="s">
        <v>182</v>
      </c>
      <c r="C17" s="9" t="s">
        <v>183</v>
      </c>
      <c r="D17" s="9" t="s">
        <v>184</v>
      </c>
      <c r="E17" s="9" t="s">
        <v>185</v>
      </c>
      <c r="F17" s="9" t="s">
        <v>186</v>
      </c>
    </row>
    <row r="18" customFormat="false" ht="24" hidden="false" customHeight="true" outlineLevel="0" collapsed="false">
      <c r="B18" s="10" t="s">
        <v>187</v>
      </c>
      <c r="C18" s="10" t="s">
        <v>188</v>
      </c>
      <c r="D18" s="10" t="s">
        <v>189</v>
      </c>
      <c r="E18" s="10" t="s">
        <v>190</v>
      </c>
      <c r="F18" s="10" t="s">
        <v>186</v>
      </c>
    </row>
    <row r="19" customFormat="false" ht="24" hidden="false" customHeight="true" outlineLevel="0" collapsed="false">
      <c r="B19" s="9" t="s">
        <v>191</v>
      </c>
      <c r="C19" s="9" t="s">
        <v>192</v>
      </c>
      <c r="D19" s="9" t="s">
        <v>193</v>
      </c>
      <c r="E19" s="9" t="s">
        <v>194</v>
      </c>
      <c r="F19" s="9" t="s">
        <v>195</v>
      </c>
    </row>
    <row r="20" customFormat="false" ht="24" hidden="false" customHeight="true" outlineLevel="0" collapsed="false">
      <c r="B20" s="10" t="s">
        <v>196</v>
      </c>
      <c r="C20" s="10" t="s">
        <v>197</v>
      </c>
      <c r="D20" s="10" t="s">
        <v>198</v>
      </c>
      <c r="E20" s="10" t="s">
        <v>199</v>
      </c>
      <c r="F20" s="10" t="s">
        <v>200</v>
      </c>
    </row>
  </sheetData>
  <mergeCells count="3">
    <mergeCell ref="B1:G3"/>
    <mergeCell ref="A5:G5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3"/>
  </cols>
  <sheetData>
    <row r="1" customFormat="false" ht="15" hidden="false" customHeight="true" outlineLevel="0" collapsed="false">
      <c r="B1" s="60" t="s">
        <v>201</v>
      </c>
      <c r="C1" s="60"/>
      <c r="D1" s="60"/>
      <c r="E1" s="60"/>
      <c r="F1" s="60"/>
      <c r="G1" s="60"/>
    </row>
    <row r="2" customFormat="false" ht="27.75" hidden="false" customHeight="true" outlineLevel="0" collapsed="false">
      <c r="B2" s="60"/>
      <c r="C2" s="60"/>
      <c r="D2" s="60"/>
      <c r="E2" s="60"/>
      <c r="F2" s="60"/>
      <c r="G2" s="60"/>
    </row>
    <row r="3" customFormat="false" ht="15" hidden="false" customHeight="false" outlineLevel="0" collapsed="false">
      <c r="B3" s="60"/>
      <c r="C3" s="60"/>
      <c r="D3" s="60"/>
      <c r="E3" s="60"/>
      <c r="F3" s="60"/>
      <c r="G3" s="60"/>
    </row>
    <row r="5" customFormat="false" ht="21.75" hidden="false" customHeight="true" outlineLevel="0" collapsed="false">
      <c r="B5" s="15" t="s">
        <v>202</v>
      </c>
      <c r="C5" s="15" t="s">
        <v>70</v>
      </c>
      <c r="D5" s="15" t="s">
        <v>37</v>
      </c>
      <c r="E5" s="15" t="s">
        <v>38</v>
      </c>
      <c r="F5" s="15" t="s">
        <v>203</v>
      </c>
      <c r="G5" s="15" t="s">
        <v>204</v>
      </c>
      <c r="H5" s="15" t="s">
        <v>205</v>
      </c>
    </row>
    <row r="6" customFormat="false" ht="21.75" hidden="false" customHeight="true" outlineLevel="0" collapsed="false">
      <c r="B6" s="9" t="s">
        <v>206</v>
      </c>
      <c r="C6" s="9" t="s">
        <v>13</v>
      </c>
      <c r="D6" s="41" t="s">
        <v>207</v>
      </c>
      <c r="E6" s="9" t="s">
        <v>208</v>
      </c>
      <c r="F6" s="18" t="s">
        <v>209</v>
      </c>
      <c r="G6" s="9" t="s">
        <v>210</v>
      </c>
      <c r="H6" s="61" t="s">
        <v>211</v>
      </c>
    </row>
    <row r="7" customFormat="false" ht="21.75" hidden="false" customHeight="true" outlineLevel="0" collapsed="false">
      <c r="B7" s="10" t="s">
        <v>212</v>
      </c>
      <c r="C7" s="10" t="s">
        <v>13</v>
      </c>
      <c r="D7" s="46" t="s">
        <v>213</v>
      </c>
      <c r="E7" s="10" t="s">
        <v>214</v>
      </c>
      <c r="F7" s="21" t="s">
        <v>215</v>
      </c>
      <c r="G7" s="10" t="s">
        <v>216</v>
      </c>
      <c r="H7" s="62" t="s">
        <v>211</v>
      </c>
    </row>
    <row r="8" customFormat="false" ht="21.75" hidden="false" customHeight="true" outlineLevel="0" collapsed="false">
      <c r="B8" s="9" t="s">
        <v>217</v>
      </c>
      <c r="C8" s="9" t="s">
        <v>13</v>
      </c>
      <c r="D8" s="41" t="s">
        <v>218</v>
      </c>
      <c r="E8" s="9" t="s">
        <v>219</v>
      </c>
      <c r="F8" s="18" t="s">
        <v>220</v>
      </c>
      <c r="G8" s="9" t="s">
        <v>210</v>
      </c>
      <c r="H8" s="61" t="s">
        <v>211</v>
      </c>
    </row>
    <row r="9" customFormat="false" ht="21.75" hidden="false" customHeight="true" outlineLevel="0" collapsed="false">
      <c r="B9" s="10" t="s">
        <v>221</v>
      </c>
      <c r="C9" s="10" t="s">
        <v>13</v>
      </c>
      <c r="D9" s="46" t="s">
        <v>46</v>
      </c>
      <c r="E9" s="10" t="s">
        <v>222</v>
      </c>
      <c r="F9" s="21" t="s">
        <v>223</v>
      </c>
      <c r="G9" s="10" t="s">
        <v>210</v>
      </c>
      <c r="H9" s="62" t="s">
        <v>211</v>
      </c>
    </row>
    <row r="10" customFormat="false" ht="21.75" hidden="false" customHeight="true" outlineLevel="0" collapsed="false">
      <c r="B10" s="9" t="s">
        <v>224</v>
      </c>
      <c r="C10" s="9" t="s">
        <v>13</v>
      </c>
      <c r="D10" s="41" t="s">
        <v>48</v>
      </c>
      <c r="E10" s="9" t="s">
        <v>225</v>
      </c>
      <c r="F10" s="18" t="s">
        <v>226</v>
      </c>
      <c r="G10" s="9" t="s">
        <v>210</v>
      </c>
      <c r="H10" s="61" t="s">
        <v>211</v>
      </c>
    </row>
    <row r="11" customFormat="false" ht="21.75" hidden="false" customHeight="true" outlineLevel="0" collapsed="false">
      <c r="B11" s="10" t="s">
        <v>227</v>
      </c>
      <c r="C11" s="10" t="s">
        <v>13</v>
      </c>
      <c r="D11" s="46" t="s">
        <v>228</v>
      </c>
      <c r="E11" s="10" t="s">
        <v>229</v>
      </c>
      <c r="F11" s="21" t="s">
        <v>230</v>
      </c>
      <c r="G11" s="10" t="s">
        <v>231</v>
      </c>
      <c r="H11" s="62" t="s">
        <v>211</v>
      </c>
    </row>
    <row r="12" customFormat="false" ht="21.75" hidden="false" customHeight="true" outlineLevel="0" collapsed="false">
      <c r="B12" s="9" t="s">
        <v>232</v>
      </c>
      <c r="C12" s="9" t="s">
        <v>18</v>
      </c>
      <c r="D12" s="41" t="s">
        <v>233</v>
      </c>
      <c r="E12" s="9" t="s">
        <v>234</v>
      </c>
      <c r="F12" s="18" t="s">
        <v>235</v>
      </c>
      <c r="G12" s="9" t="s">
        <v>210</v>
      </c>
      <c r="H12" s="61" t="s">
        <v>211</v>
      </c>
    </row>
    <row r="13" customFormat="false" ht="21.75" hidden="false" customHeight="true" outlineLevel="0" collapsed="false">
      <c r="B13" s="10" t="s">
        <v>236</v>
      </c>
      <c r="C13" s="10" t="s">
        <v>18</v>
      </c>
      <c r="D13" s="46" t="s">
        <v>78</v>
      </c>
      <c r="E13" s="10" t="s">
        <v>237</v>
      </c>
      <c r="F13" s="21" t="s">
        <v>238</v>
      </c>
      <c r="G13" s="10" t="s">
        <v>210</v>
      </c>
      <c r="H13" s="62" t="s">
        <v>211</v>
      </c>
    </row>
    <row r="14" customFormat="false" ht="21.75" hidden="false" customHeight="true" outlineLevel="0" collapsed="false">
      <c r="B14" s="9" t="s">
        <v>239</v>
      </c>
      <c r="C14" s="9" t="s">
        <v>18</v>
      </c>
      <c r="D14" s="41" t="s">
        <v>240</v>
      </c>
      <c r="E14" s="9" t="s">
        <v>241</v>
      </c>
      <c r="F14" s="18" t="s">
        <v>242</v>
      </c>
      <c r="G14" s="9" t="s">
        <v>210</v>
      </c>
      <c r="H14" s="61" t="s">
        <v>211</v>
      </c>
    </row>
    <row r="15" customFormat="false" ht="21.75" hidden="false" customHeight="true" outlineLevel="0" collapsed="false">
      <c r="B15" s="10" t="s">
        <v>243</v>
      </c>
      <c r="C15" s="10" t="s">
        <v>18</v>
      </c>
      <c r="D15" s="46" t="s">
        <v>244</v>
      </c>
      <c r="E15" s="10" t="s">
        <v>245</v>
      </c>
      <c r="F15" s="21" t="s">
        <v>246</v>
      </c>
      <c r="G15" s="10" t="s">
        <v>231</v>
      </c>
      <c r="H15" s="62" t="s">
        <v>211</v>
      </c>
    </row>
    <row r="16" customFormat="false" ht="21.75" hidden="false" customHeight="true" outlineLevel="0" collapsed="false">
      <c r="B16" s="9" t="s">
        <v>247</v>
      </c>
      <c r="C16" s="9" t="s">
        <v>18</v>
      </c>
      <c r="D16" s="41" t="s">
        <v>83</v>
      </c>
      <c r="E16" s="9" t="s">
        <v>248</v>
      </c>
      <c r="F16" s="18" t="s">
        <v>249</v>
      </c>
      <c r="G16" s="9" t="s">
        <v>231</v>
      </c>
      <c r="H16" s="61" t="s">
        <v>211</v>
      </c>
    </row>
    <row r="17" customFormat="false" ht="21.75" hidden="false" customHeight="true" outlineLevel="0" collapsed="false">
      <c r="B17" s="10" t="s">
        <v>250</v>
      </c>
      <c r="C17" s="10" t="s">
        <v>18</v>
      </c>
      <c r="D17" s="46" t="s">
        <v>251</v>
      </c>
      <c r="E17" s="10" t="s">
        <v>252</v>
      </c>
      <c r="F17" s="21" t="s">
        <v>253</v>
      </c>
      <c r="G17" s="10" t="s">
        <v>210</v>
      </c>
      <c r="H17" s="62" t="s">
        <v>211</v>
      </c>
    </row>
    <row r="18" customFormat="false" ht="21.75" hidden="false" customHeight="true" outlineLevel="0" collapsed="false">
      <c r="B18" s="9" t="s">
        <v>254</v>
      </c>
      <c r="C18" s="9" t="s">
        <v>18</v>
      </c>
      <c r="D18" s="41" t="s">
        <v>87</v>
      </c>
      <c r="E18" s="9" t="s">
        <v>255</v>
      </c>
      <c r="F18" s="18" t="s">
        <v>256</v>
      </c>
      <c r="G18" s="9" t="s">
        <v>231</v>
      </c>
      <c r="H18" s="61" t="s">
        <v>211</v>
      </c>
    </row>
    <row r="19" customFormat="false" ht="21.75" hidden="false" customHeight="true" outlineLevel="0" collapsed="false">
      <c r="B19" s="10" t="s">
        <v>257</v>
      </c>
      <c r="C19" s="10" t="s">
        <v>23</v>
      </c>
      <c r="D19" s="46" t="s">
        <v>258</v>
      </c>
      <c r="E19" s="10" t="s">
        <v>259</v>
      </c>
      <c r="F19" s="21" t="s">
        <v>260</v>
      </c>
      <c r="G19" s="10" t="s">
        <v>231</v>
      </c>
      <c r="H19" s="62" t="s">
        <v>211</v>
      </c>
    </row>
    <row r="20" customFormat="false" ht="21.75" hidden="false" customHeight="true" outlineLevel="0" collapsed="false">
      <c r="B20" s="9" t="s">
        <v>261</v>
      </c>
      <c r="C20" s="9" t="s">
        <v>23</v>
      </c>
      <c r="D20" s="41" t="s">
        <v>262</v>
      </c>
      <c r="E20" s="9" t="s">
        <v>263</v>
      </c>
      <c r="F20" s="18" t="s">
        <v>264</v>
      </c>
      <c r="G20" s="9" t="s">
        <v>216</v>
      </c>
      <c r="H20" s="61" t="s">
        <v>211</v>
      </c>
    </row>
    <row r="21" customFormat="false" ht="21.75" hidden="false" customHeight="true" outlineLevel="0" collapsed="false">
      <c r="B21" s="10" t="s">
        <v>265</v>
      </c>
      <c r="C21" s="10" t="s">
        <v>23</v>
      </c>
      <c r="D21" s="46" t="s">
        <v>266</v>
      </c>
      <c r="E21" s="10" t="s">
        <v>267</v>
      </c>
      <c r="F21" s="21" t="s">
        <v>268</v>
      </c>
      <c r="G21" s="10" t="s">
        <v>210</v>
      </c>
      <c r="H21" s="62" t="s">
        <v>211</v>
      </c>
    </row>
    <row r="22" customFormat="false" ht="21.75" hidden="false" customHeight="true" outlineLevel="0" collapsed="false">
      <c r="B22" s="9" t="s">
        <v>269</v>
      </c>
      <c r="C22" s="9" t="s">
        <v>28</v>
      </c>
      <c r="D22" s="41" t="s">
        <v>270</v>
      </c>
      <c r="E22" s="9" t="s">
        <v>271</v>
      </c>
      <c r="F22" s="18" t="s">
        <v>272</v>
      </c>
      <c r="G22" s="9" t="s">
        <v>231</v>
      </c>
      <c r="H22" s="61" t="s">
        <v>211</v>
      </c>
    </row>
    <row r="23" customFormat="false" ht="21.75" hidden="false" customHeight="true" outlineLevel="0" collapsed="false">
      <c r="B23" s="10" t="s">
        <v>273</v>
      </c>
      <c r="C23" s="10" t="s">
        <v>28</v>
      </c>
      <c r="D23" s="46" t="s">
        <v>274</v>
      </c>
      <c r="E23" s="10" t="s">
        <v>275</v>
      </c>
      <c r="F23" s="21" t="s">
        <v>276</v>
      </c>
      <c r="G23" s="10" t="s">
        <v>210</v>
      </c>
      <c r="H23" s="62" t="s">
        <v>211</v>
      </c>
    </row>
    <row r="24" customFormat="false" ht="21.75" hidden="false" customHeight="true" outlineLevel="0" collapsed="false">
      <c r="B24" s="9" t="s">
        <v>277</v>
      </c>
      <c r="C24" s="9" t="s">
        <v>28</v>
      </c>
      <c r="D24" s="41" t="s">
        <v>278</v>
      </c>
      <c r="E24" s="9" t="s">
        <v>279</v>
      </c>
      <c r="F24" s="18" t="s">
        <v>280</v>
      </c>
      <c r="G24" s="9" t="s">
        <v>210</v>
      </c>
      <c r="H24" s="61" t="s">
        <v>211</v>
      </c>
    </row>
    <row r="25" customFormat="false" ht="21.75" hidden="false" customHeight="true" outlineLevel="0" collapsed="false">
      <c r="B25" s="10" t="s">
        <v>281</v>
      </c>
      <c r="C25" s="10" t="s">
        <v>28</v>
      </c>
      <c r="D25" s="46" t="s">
        <v>282</v>
      </c>
      <c r="E25" s="10" t="s">
        <v>188</v>
      </c>
      <c r="F25" s="21" t="s">
        <v>283</v>
      </c>
      <c r="G25" s="10" t="s">
        <v>210</v>
      </c>
      <c r="H25" s="62" t="s">
        <v>211</v>
      </c>
    </row>
  </sheetData>
  <mergeCells count="1">
    <mergeCell ref="B1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2026-06-12T09:01:30Z</dcterms:created>
  <dc:creator>openpyxl</dc:creator>
  <dc:description/>
  <dc:language>en-US</dc:language>
  <cp:lastModifiedBy/>
  <dcterms:modified xsi:type="dcterms:W3CDTF">2026-06-12T09:01:37Z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